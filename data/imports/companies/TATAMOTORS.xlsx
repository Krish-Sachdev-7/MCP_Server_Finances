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K93" i="6"/>
  <c r="C93" i="6"/>
  <c r="D93" i="6"/>
  <c r="D13" i="1" s="1"/>
  <c r="E93" i="6"/>
  <c r="E13" i="1" s="1"/>
  <c r="F93" i="6"/>
  <c r="G93" i="6"/>
  <c r="H93" i="6"/>
  <c r="I93" i="6"/>
  <c r="J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<sst xmlns="http://schemas.openxmlformats.org/spreadsheetml/2006/main" count="145" uniqueCount="93">
  <si>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</si>
  <si>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</si>
  <si>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</si>
  <si>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</si>
  <si>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</si>
  <si>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</si>
  <si>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</si>
  <si>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</si>
  <si>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</si>
  <si>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</si>
  <si>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</si>
  <si>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</si>
  <si>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</si>
  <si>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</si>
  <si>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</si>
  <si>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</si>
  <si>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</si>
  <si>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</si>
  <si>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</si>
  <si>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</si>
  <si>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</si>
  <si>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</si>
  <si>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</si>
  <si>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</si>
  <si>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</si>
  <si>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</si>
  <si>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</si>
  <si>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</si>
  <si>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</si>
  <si>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</si>
  <si>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</si>
  <si>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</si>
  <si>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</si>
  <si>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</si>
  <si>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</si>
  <si>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</si>
  <si>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</si>
  <si>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</si>
  <si>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</si>
  <si>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</si>
  <si>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</si>
  <si>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</si>
  <si>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</si>
  <si>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</si>
  <si>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</si>
  <si>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</si>
  <si>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</si>
  <si>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</si>
  <si>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</si>
  <si>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</si>
  <si>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</si>
  <si>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</si>
  <si>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</si>
  <si>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</si>
  <si>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</si>
  <si>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</si>
  <si>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</si>
  <si>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</si>
  <si>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</si>
  <si>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</si>
  <si>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</si>
  <si>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</si>
  <si>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</si>
  <si>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TATA MOTORS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</si>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</sst>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394.45</v>
      </c>
    </row>
    <row r="9" spans="1:11" x14ac:dyDescent="0.2">
      <c r="A9" s="5" t="s">
        <v>79</v>
      </c>
      <c r="B9">
        <v>145266.87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/>
      <c r="H16" s="16"/>
      <c r="I16" s="16"/>
      <c r="J16" s="16"/>
      <c r="K16" s="16">
        <v>45747.0</v>
      </c>
    </row>
    <row r="17" spans="1:1" s="9" customFormat="1" x14ac:dyDescent="0.2">
      <c r="A17" s="9" t="s">
        <v>6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</row>
    <row r="22" spans="1:1" s="9" customFormat="1" x14ac:dyDescent="0.2">
      <c r="A22" s="5" t="s">
        <v>84</v>
      </c>
    </row>
    <row r="23" spans="1:1" s="9" customFormat="1" x14ac:dyDescent="0.2">
      <c r="A23" s="5" t="s">
        <v>85</v>
      </c>
      <c r="K23">
        <v>0.08</v>
      </c>
    </row>
    <row r="24" spans="1:1" s="9" customFormat="1" x14ac:dyDescent="0.2">
      <c r="A24" s="5" t="s">
        <v>86</v>
      </c>
    </row>
    <row r="25" spans="1:1" s="9" customFormat="1" x14ac:dyDescent="0.2">
      <c r="A25" s="9" t="s">
        <v>9</v>
      </c>
    </row>
    <row r="26" spans="1:1" s="9" customFormat="1" x14ac:dyDescent="0.2">
      <c r="A26" s="9" t="s">
        <v>10</v>
      </c>
    </row>
    <row r="27" spans="1:1" s="9" customFormat="1" x14ac:dyDescent="0.2">
      <c r="A27" s="9" t="s">
        <v>11</v>
      </c>
    </row>
    <row r="28" spans="1:1" s="9" customFormat="1" x14ac:dyDescent="0.2">
      <c r="A28" s="9" t="s">
        <v>12</v>
      </c>
      <c r="K28">
        <v>-0.08</v>
      </c>
    </row>
    <row r="29" spans="1:1" s="9" customFormat="1" x14ac:dyDescent="0.2">
      <c r="A29" s="9" t="s">
        <v>13</v>
      </c>
    </row>
    <row r="30" spans="1:1" s="9" customFormat="1" x14ac:dyDescent="0.2">
      <c r="A30" s="9" t="s">
        <v>14</v>
      </c>
      <c r="K30">
        <v>-0.08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/>
      <c r="E41" s="16"/>
      <c r="F41" s="16"/>
      <c r="G41" s="16">
        <v>45565.0</v>
      </c>
      <c r="H41" s="16">
        <v>45657.0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G42">
        <v>15518.0</v>
      </c>
      <c r="H42">
        <v>17040.0</v>
      </c>
      <c r="I42">
        <v>15682.0</v>
      </c>
      <c r="J42">
        <v>16861.0</v>
      </c>
      <c r="K42">
        <v>20404.0</v>
      </c>
    </row>
    <row r="43" spans="1:11" s="9" customFormat="1" x14ac:dyDescent="0.2">
      <c r="A43" s="9" t="s">
        <v>7</v>
      </c>
      <c r="G43">
        <v>13877.0</v>
      </c>
      <c r="H43">
        <v>15035.0</v>
      </c>
      <c r="I43">
        <v>13695.0</v>
      </c>
      <c r="J43">
        <v>14784.0</v>
      </c>
      <c r="K43">
        <v>17798.0</v>
      </c>
    </row>
    <row r="44" spans="1:11" s="9" customFormat="1" x14ac:dyDescent="0.2">
      <c r="A44" s="9" t="s">
        <v>9</v>
      </c>
      <c r="G44">
        <v>143.0</v>
      </c>
      <c r="H44">
        <v>282.0</v>
      </c>
      <c r="I44">
        <v>235.0</v>
      </c>
      <c r="J44">
        <v>-2088.0</v>
      </c>
      <c r="K44">
        <v>-1273.0</v>
      </c>
    </row>
    <row r="45" spans="1:11" s="9" customFormat="1" x14ac:dyDescent="0.2">
      <c r="A45" s="9" t="s">
        <v>10</v>
      </c>
      <c r="G45">
        <v>484.0</v>
      </c>
      <c r="H45">
        <v>488.0</v>
      </c>
      <c r="I45">
        <v>423.0</v>
      </c>
      <c r="J45">
        <v>412.0</v>
      </c>
      <c r="K45">
        <v>417.0</v>
      </c>
    </row>
    <row r="46" spans="1:11" s="9" customFormat="1" x14ac:dyDescent="0.2">
      <c r="A46" s="9" t="s">
        <v>11</v>
      </c>
      <c r="G46">
        <v>211.0</v>
      </c>
      <c r="H46">
        <v>220.0</v>
      </c>
      <c r="I46">
        <v>174.0</v>
      </c>
      <c r="J46">
        <v>186.0</v>
      </c>
      <c r="K46">
        <v>143.0</v>
      </c>
    </row>
    <row r="47" spans="1:11" s="9" customFormat="1" x14ac:dyDescent="0.2">
      <c r="A47" s="9" t="s">
        <v>12</v>
      </c>
      <c r="G47">
        <v>1089.0</v>
      </c>
      <c r="H47">
        <v>1579.0</v>
      </c>
      <c r="I47">
        <v>1625.0</v>
      </c>
      <c r="J47">
        <v>-609.0</v>
      </c>
      <c r="K47">
        <v>773.0</v>
      </c>
    </row>
    <row r="48" spans="1:11" s="9" customFormat="1" x14ac:dyDescent="0.2">
      <c r="A48" s="9" t="s">
        <v>13</v>
      </c>
      <c r="G48">
        <v>446.0</v>
      </c>
      <c r="H48">
        <v>162.0</v>
      </c>
      <c r="I48">
        <v>214.0</v>
      </c>
      <c r="J48">
        <v>412.0</v>
      </c>
      <c r="K48">
        <v>212.0</v>
      </c>
    </row>
    <row r="49" spans="1:11" s="9" customFormat="1" x14ac:dyDescent="0.2">
      <c r="A49" s="9" t="s">
        <v>14</v>
      </c>
      <c r="G49">
        <v>643.0</v>
      </c>
      <c r="H49">
        <v>1417.0</v>
      </c>
      <c r="I49">
        <v>1411.0</v>
      </c>
      <c r="J49">
        <v>-1021.0</v>
      </c>
      <c r="K49">
        <v>561.0</v>
      </c>
    </row>
    <row r="50" spans="1:11" x14ac:dyDescent="0.2">
      <c r="A50" s="9" t="s">
        <v>8</v>
      </c>
      <c r="G50">
        <v>1641.0</v>
      </c>
      <c r="H50">
        <v>2005.0</v>
      </c>
      <c r="I50">
        <v>1987.0</v>
      </c>
      <c r="J50">
        <v>2077.0</v>
      </c>
      <c r="K50">
        <v>2606.0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/>
      <c r="H56" s="16"/>
      <c r="I56" s="16"/>
      <c r="J56" s="16"/>
      <c r="K56" s="16">
        <v>45747.0</v>
      </c>
    </row>
    <row r="57" spans="1:11" x14ac:dyDescent="0.2">
      <c r="A57" s="9" t="s">
        <v>24</v>
      </c>
      <c r="K57">
        <v>0.1</v>
      </c>
    </row>
    <row r="58" spans="1:11" x14ac:dyDescent="0.2">
      <c r="A58" s="9" t="s">
        <v>25</v>
      </c>
      <c r="K58">
        <v>-0.08</v>
      </c>
    </row>
    <row r="59" spans="1:11" x14ac:dyDescent="0.2">
      <c r="A59" s="9" t="s">
        <v>71</v>
      </c>
    </row>
    <row r="60" spans="1:11" x14ac:dyDescent="0.2">
      <c r="A60" s="9" t="s">
        <v>72</v>
      </c>
      <c r="K60">
        <v>0.08</v>
      </c>
    </row>
    <row r="61" spans="1:11" s="1" customFormat="1" x14ac:dyDescent="0.2">
      <c r="A61" s="1" t="s">
        <v>26</v>
      </c>
      <c r="K61">
        <v>0.1</v>
      </c>
    </row>
    <row r="62" spans="1:11" x14ac:dyDescent="0.2">
      <c r="A62" s="9" t="s">
        <v>27</v>
      </c>
    </row>
    <row r="63" spans="1:11" x14ac:dyDescent="0.2">
      <c r="A63" s="9" t="s">
        <v>28</v>
      </c>
    </row>
    <row r="64" spans="1:11" x14ac:dyDescent="0.2">
      <c r="A64" s="9" t="s">
        <v>29</v>
      </c>
    </row>
    <row r="65" spans="1:1" x14ac:dyDescent="0.2">
      <c r="A65" s="9" t="s">
        <v>73</v>
      </c>
      <c r="K65">
        <v>0.1</v>
      </c>
    </row>
    <row r="66" spans="1:1" s="1" customFormat="1" x14ac:dyDescent="0.2">
      <c r="A66" s="1" t="s">
        <v>26</v>
      </c>
      <c r="K66">
        <v>0.1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K69">
        <v>0.1</v>
      </c>
    </row>
    <row r="70" spans="1:1" x14ac:dyDescent="0.2">
      <c r="A70" s="5" t="s">
        <v>74</v>
      </c>
      <c r="K70">
        <v>500000.0</v>
      </c>
    </row>
    <row r="71" spans="1:1" x14ac:dyDescent="0.2">
      <c r="A71" s="5" t="s">
        <v>75</v>
      </c>
    </row>
    <row r="72" spans="1:1" x14ac:dyDescent="0.2">
      <c r="A72" s="5" t="s">
        <v>88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/>
      <c r="H81" s="16"/>
      <c r="I81" s="16"/>
      <c r="J81" s="16"/>
      <c r="K81" s="16">
        <v>45747.0</v>
      </c>
    </row>
    <row r="82" spans="1:11" s="1" customFormat="1" x14ac:dyDescent="0.2">
      <c r="A82" s="9" t="s">
        <v>32</v>
      </c>
    </row>
    <row r="83" spans="1:11" s="9" customFormat="1" x14ac:dyDescent="0.2">
      <c r="A83" s="9" t="s">
        <v>33</v>
      </c>
    </row>
    <row r="84" spans="1:11" s="9" customFormat="1" x14ac:dyDescent="0.2">
      <c r="A84" s="9" t="s">
        <v>34</v>
      </c>
    </row>
    <row r="85" spans="1:11" s="1" customFormat="1" x14ac:dyDescent="0.2">
      <c r="A85" s="9" t="s">
        <v>35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f>IF($B7&gt;0,(H70*H72/$B7)+SUM(I71:$K71),0)/10000000</f>
      </c>
      <c r="I93" s="31">
        <f>IF($B7&gt;0,(I70*I72/$B7)+SUM(J71:$K71),0)/10000000</f>
      </c>
      <c r="J93" s="31">
        <f>IF($B7&gt;0,(J70*J72/$B7)+SUM(K71:$K71),0)/10000000</f>
      </c>
      <c r="K93" s="31">
        <f>IF($B7&gt;0,(K70*K72/$B7),0)/10000000</f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